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'Report'!$A1:$E6</definedName>
    <definedName name="_xlnm.Print_Titles" localSheetId="0">'Report'!$4:$4</definedName>
  </definedNames>
  <calcPr calcId="171027" fullCalcOnLoad="1"/>
</workbook>
</file>

<file path=xl/sharedStrings.xml><?xml version="1.0" encoding="utf-8"?>
<sst xmlns="http://schemas.openxmlformats.org/spreadsheetml/2006/main" count="12" uniqueCount="12">
  <si>
    <t>Kusum Jewellers</t>
  </si>
  <si>
    <t>SCHEME REGISTER</t>
  </si>
  <si>
    <t>Portfolio sample | 2026-09-20</t>
  </si>
  <si>
    <t>SR. NO.</t>
  </si>
  <si>
    <t>SCHEME DOC NO.</t>
  </si>
  <si>
    <t>NAME</t>
  </si>
  <si>
    <t>MOBILE NO.</t>
  </si>
  <si>
    <t>AMOUNT</t>
  </si>
  <si>
    <r>
      <t>SCH-DEMO-2026-001</t>
    </r>
  </si>
  <si>
    <t>Parikshit Abuj</t>
  </si>
  <si>
    <r>
      <t>9529138839</t>
    </r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</si>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</sst>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-#,##0"/>
    <numFmt numFmtId="165" formatCode="#,##0.00;[Red]-#,##0.00"/>
  </numFmts>
  <fonts count="6" x14ac:knownFonts="1">
    <font>
      <color theme="1"/>
      <family val="2"/>
      <scheme val="minor"/>
      <sz val="11"/>
      <name val="Calibri"/>
    </font>
    <font>
      <b/>
      <color rgb="FF000000"/>
      <sz val="16"/>
      <name val="Arial"/>
    </font>
    <font>
      <b/>
      <color rgb="FF000000"/>
      <sz val="14"/>
      <name val="Arial"/>
    </font>
    <font>
      <b/>
      <color rgb="FF000000"/>
      <sz val="11"/>
      <name val="Arial"/>
    </font>
    <font>
      <b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164" fontId="5" fillId="0" borderId="0" xfId="0" applyNumberFormat="1" applyFont="1" applyAlignment="1">
      <alignment horizontal="right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right" vertical="center"/>
    </xf>
    <xf numFmtId="0" fontId="4" fillId="0" borderId="0" xfId="0" applyFont="1"/>
    <xf numFmtId="165" fontId="4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"/>
  <sheetViews>
    <sheetView workbookViewId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2" max="2" width="22" customWidth="1"/>
    <col min="3" max="3" width="40" customWidth="1"/>
    <col min="4" max="4" width="16" customWidth="1"/>
    <col min="5" max="5" width="18" customWidth="1"/>
  </cols>
  <sheetData>
    <row r="1" ht="24" customHeight="1" spans="1:5" x14ac:dyDescent="0.25">
      <c r="A1" s="1" t="s">
        <v>0</v>
      </c>
      <c r="B1" s="1"/>
      <c r="C1" s="1"/>
      <c r="D1" s="1"/>
      <c r="E1" s="1"/>
    </row>
    <row r="2" ht="22" customHeight="1" spans="1:5" x14ac:dyDescent="0.25">
      <c r="A2" s="2" t="s">
        <v>1</v>
      </c>
      <c r="B2" s="2"/>
      <c r="C2" s="2"/>
      <c r="D2" s="2"/>
      <c r="E2" s="2"/>
    </row>
    <row r="3" spans="1:5" x14ac:dyDescent="0.25">
      <c r="A3" s="3" t="s">
        <v>2</v>
      </c>
      <c r="B3" s="3"/>
      <c r="C3" s="3"/>
      <c r="D3" s="3"/>
      <c r="E3" s="3"/>
    </row>
    <row r="4" ht="20" customHeight="1" spans="1:5" x14ac:dyDescent="0.25">
      <c r="A4" s="4" t="s">
        <v>3</v>
      </c>
      <c r="B4" s="5" t="s">
        <v>4</v>
      </c>
      <c r="C4" s="5" t="s">
        <v>5</v>
      </c>
      <c r="D4" s="5" t="s">
        <v>6</v>
      </c>
      <c r="E4" s="4" t="s">
        <v>7</v>
      </c>
    </row>
    <row r="5" ht="18" customHeight="1" spans="1:5" x14ac:dyDescent="0.25">
      <c r="A5" s="6">
        <v>1</v>
      </c>
      <c r="B5" s="7" t="s">
        <v>8</v>
      </c>
      <c r="C5" s="8" t="s">
        <v>9</v>
      </c>
      <c r="D5" s="7" t="s">
        <v>10</v>
      </c>
      <c r="E5" s="9">
        <v>15000</v>
      </c>
    </row>
    <row r="6" spans="1:5" x14ac:dyDescent="0.25">
      <c r="A6" s="10" t="s">
        <v>11</v>
      </c>
      <c r="E6" s="11">
        <f>SUM(E5:E5)</f>
        <v>15000</v>
      </c>
    </row>
  </sheetData>
  <mergeCells count="3">
    <mergeCell ref="A1:E1"/>
    <mergeCell ref="A2:E2"/>
    <mergeCell ref="A3:E3"/>
  </mergeCells>
  <pageMargins left="0.25" right="0.25" top="0.5" bottom="0.5" header="0.2" footer="0.2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Kusum Jewellers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 Jewellers</dc:creator>
  <dc:title>Scheme Register</dc:title>
  <dc:subject>Scheme Register</dc:subject>
  <dc:description>Vithal Bhagwan Complex, Beed Road, Majalgaon, Maharashtra, 431131 | GSTIN: 27ABDFK0780F1ZG | 9970737444 / 9404023751</dc:description>
  <cp:keywords>Kusum Jewellers, 27ABDFK0780F1ZG</cp:keywords>
  <cp:category/>
  <cp:lastModifiedBy>Kusum Jewellers</cp:lastModifiedBy>
  <dcterms:created xsi:type="dcterms:W3CDTF">2026-09-19T19:37:42Z</dcterms:created>
  <dcterms:modified xsi:type="dcterms:W3CDTF">2026-09-19T19:37:42Z</dcterms:modified>
</cp:coreProperties>
</file>